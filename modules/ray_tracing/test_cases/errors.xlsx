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elkamash\projects\moose\modules\ray_tracing\test_cases\"/>
    </mc:Choice>
  </mc:AlternateContent>
  <xr:revisionPtr revIDLastSave="0" documentId="8_{0F5785BE-3D55-402B-A5ED-2B26D5910DEC}" xr6:coauthVersionLast="47" xr6:coauthVersionMax="47" xr10:uidLastSave="{00000000-0000-0000-0000-000000000000}"/>
  <bookViews>
    <workbookView xWindow="-108" yWindow="-108" windowWidth="23256" windowHeight="12456" activeTab="1" xr2:uid="{A1C0ACFD-E5E6-488C-8403-F182EA2AEB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F6" i="2" s="1"/>
  <c r="E5" i="2"/>
  <c r="D5" i="2"/>
  <c r="F5" i="2" s="1"/>
  <c r="E4" i="2"/>
  <c r="D4" i="2"/>
  <c r="F4" i="2" s="1"/>
  <c r="E3" i="2"/>
  <c r="D3" i="2"/>
  <c r="F3" i="2" s="1"/>
  <c r="E2" i="2"/>
  <c r="D2" i="2"/>
  <c r="F2" i="2" s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<sst xmlns="http://schemas.openxmlformats.org/spreadsheetml/2006/main" count="12" uniqueCount="6">
  <si>
    <t>x_num</t>
  </si>
  <si>
    <t>x_anal</t>
  </si>
  <si>
    <t>x_anal - x_num</t>
  </si>
  <si>
    <t>dt</t>
  </si>
  <si>
    <t>log(dt)</t>
  </si>
  <si>
    <t>log(error)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</si>
</sst>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log(error)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950699912510935"/>
                  <c:y val="-0.16575495771361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Sheet1!$E$2:$E$6</c:f>
              <c:numCache>
                <c:formatCode>General</c:formatCode>
                <c:ptCount val="5"/>
                <c:pt idx="0">
                  <c:v>0.69897000433601875</c:v>
                </c:pt>
                <c:pt idx="1">
                  <c:v>1</c:v>
                </c:pt>
                <c:pt idx="2">
                  <c:v>1.3010299956639813</c:v>
                </c:pt>
                <c:pt idx="3">
                  <c:v>1.6020599913279623</c:v>
                </c:pt>
                <c:pt idx="4">
                  <c:v>1.9030899869919435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4.5757490560675171E-2</c:v>
                </c:pt>
                <c:pt idx="1">
                  <c:v>0.34678748622465638</c:v>
                </c:pt>
                <c:pt idx="2">
                  <c:v>0.64781748188863775</c:v>
                </c:pt>
                <c:pt idx="3">
                  <c:v>0.94884747755261944</c:v>
                </c:pt>
                <c:pt idx="4">
                  <c:v>1.2498774732166007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C-43D5-9A5F-C8213A69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18815"/>
        <c:axId val="1288125583"/>
      </c:scatterChart>
      <c:valAx>
        <c:axId val="12968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25583"/>
        <c:crosses val="autoZero"/>
        <c:crossBetween val="midCat"/>
      </c:valAx>
      <c:valAx>
        <c:axId val="12881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1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6</xdr:row>
      <xdr:rowOff>41910</xdr:rowOff>
    </xdr:from>
    <xdr:to>
      <xdr:col>14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6EF0F-60B6-5E4C-C7D7-81A4C31C1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1DA4-E48F-40AD-B9CD-0BA462B5D91D}">
  <dimension ref="A1:F6"/>
  <sheetViews>
    <sheetView workbookViewId="0">
      <selection activeCell="F6" sqref="A1:F6"/>
    </sheetView>
  </sheetViews>
  <sheetFormatPr defaultRowHeight="14.4" x14ac:dyDescent="0.3"/>
  <cols>
    <col min="4" max="4" width="12.5546875" customWidth="1"/>
  </cols>
  <sheetData>
    <row r="1" spans="1:6" x14ac:dyDescent="0.3">
      <c r="A1" t="s">
        <v>3</v>
      </c>
      <c r="B1" t="s">
        <v>1</v>
      </c>
      <c r="C1" t="s">
        <v>0</v>
      </c>
      <c r="D1" t="s">
        <v>2</v>
      </c>
      <c r="E1" t="s">
        <v>4</v>
      </c>
      <c r="F1" t="s">
        <v>5</v>
      </c>
    </row>
    <row r="2" spans="1:6" x14ac:dyDescent="0.3">
      <c r="A2">
        <v>0.2</v>
      </c>
      <c r="B2">
        <v>1.4</v>
      </c>
      <c r="C2">
        <v>0.5</v>
      </c>
      <c r="D2">
        <f>B2-C2</f>
        <v>0.89999999999999991</v>
      </c>
      <c r="E2">
        <f>-LOG(A2)</f>
        <v>0.69897000433601875</v>
      </c>
      <c r="F2">
        <f>-LOG(D2)</f>
        <v>4.5757490560675171E-2</v>
      </c>
    </row>
    <row r="3" spans="1:6" x14ac:dyDescent="0.3">
      <c r="A3">
        <v>0.1</v>
      </c>
      <c r="B3">
        <v>1.4</v>
      </c>
      <c r="C3">
        <v>0.95</v>
      </c>
      <c r="D3">
        <f t="shared" ref="D3:D6" si="0">B3-C3</f>
        <v>0.44999999999999996</v>
      </c>
      <c r="E3">
        <f t="shared" ref="E3:E6" si="1">-LOG(A3)</f>
        <v>1</v>
      </c>
      <c r="F3">
        <f t="shared" ref="F3:F6" si="2">-LOG(D3)</f>
        <v>0.34678748622465638</v>
      </c>
    </row>
    <row r="4" spans="1:6" x14ac:dyDescent="0.3">
      <c r="A4">
        <v>0.05</v>
      </c>
      <c r="B4">
        <v>1.4</v>
      </c>
      <c r="C4">
        <v>1.175</v>
      </c>
      <c r="D4">
        <f t="shared" si="0"/>
        <v>0.22499999999999987</v>
      </c>
      <c r="E4">
        <f t="shared" si="1"/>
        <v>1.3010299956639813</v>
      </c>
      <c r="F4">
        <f t="shared" si="2"/>
        <v>0.64781748188863775</v>
      </c>
    </row>
    <row r="5" spans="1:6" x14ac:dyDescent="0.3">
      <c r="A5">
        <v>2.5000000000000001E-2</v>
      </c>
      <c r="B5">
        <v>1.4</v>
      </c>
      <c r="C5">
        <v>1.2875000000000001</v>
      </c>
      <c r="D5">
        <f t="shared" si="0"/>
        <v>0.11249999999999982</v>
      </c>
      <c r="E5">
        <f t="shared" si="1"/>
        <v>1.6020599913279623</v>
      </c>
      <c r="F5">
        <f t="shared" si="2"/>
        <v>0.94884747755261944</v>
      </c>
    </row>
    <row r="6" spans="1:6" x14ac:dyDescent="0.3">
      <c r="A6">
        <v>1.2500000000000001E-2</v>
      </c>
      <c r="B6">
        <v>1.4</v>
      </c>
      <c r="C6">
        <v>1.34375</v>
      </c>
      <c r="D6">
        <f t="shared" si="0"/>
        <v>5.6249999999999911E-2</v>
      </c>
      <c r="E6">
        <f t="shared" si="1"/>
        <v>1.9030899869919435</v>
      </c>
      <c r="F6">
        <f t="shared" si="2"/>
        <v>1.2498774732166007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5C9F-2809-49AC-828B-56D5698F6421}">
  <dimension ref="A1:F6"/>
  <sheetViews>
    <sheetView tabSelected="1" workbookViewId="0">
      <selection activeCell="P22" sqref="P22"/>
    </sheetView>
  </sheetViews>
  <sheetFormatPr defaultRowHeight="14.4" x14ac:dyDescent="0.3"/>
  <sheetData>
    <row r="1" spans="1:6" x14ac:dyDescent="0.3">
      <c r="A1" t="s">
        <v>3</v>
      </c>
      <c r="B1" t="s">
        <v>1</v>
      </c>
      <c r="C1" t="s">
        <v>0</v>
      </c>
      <c r="D1" t="s">
        <v>2</v>
      </c>
      <c r="E1" t="s">
        <v>4</v>
      </c>
      <c r="F1" t="s">
        <v>5</v>
      </c>
    </row>
    <row r="2" spans="1:6" x14ac:dyDescent="0.3">
      <c r="A2">
        <v>0.2</v>
      </c>
      <c r="B2">
        <v>1.4</v>
      </c>
      <c r="C2">
        <v>0.5</v>
      </c>
      <c r="D2">
        <f>B2-C2</f>
        <v>0.89999999999999991</v>
      </c>
      <c r="E2">
        <f>-LOG(A2)</f>
        <v>0.69897000433601875</v>
      </c>
      <c r="F2">
        <f>-LOG(D2)</f>
        <v>4.5757490560675171E-2</v>
      </c>
    </row>
    <row r="3" spans="1:6" x14ac:dyDescent="0.3">
      <c r="A3">
        <v>0.1</v>
      </c>
      <c r="B3">
        <v>1.4</v>
      </c>
      <c r="C3">
        <v>0.95</v>
      </c>
      <c r="D3">
        <f t="shared" ref="D3:D6" si="0">B3-C3</f>
        <v>0.44999999999999996</v>
      </c>
      <c r="E3">
        <f t="shared" ref="E3:E6" si="1">-LOG(A3)</f>
        <v>1</v>
      </c>
      <c r="F3">
        <f t="shared" ref="F3:F6" si="2">-LOG(D3)</f>
        <v>0.34678748622465638</v>
      </c>
    </row>
    <row r="4" spans="1:6" x14ac:dyDescent="0.3">
      <c r="A4">
        <v>0.05</v>
      </c>
      <c r="B4">
        <v>1.4</v>
      </c>
      <c r="C4">
        <v>1.175</v>
      </c>
      <c r="D4">
        <f t="shared" si="0"/>
        <v>0.22499999999999987</v>
      </c>
      <c r="E4">
        <f t="shared" si="1"/>
        <v>1.3010299956639813</v>
      </c>
      <c r="F4">
        <f t="shared" si="2"/>
        <v>0.64781748188863775</v>
      </c>
    </row>
    <row r="5" spans="1:6" x14ac:dyDescent="0.3">
      <c r="A5">
        <v>2.5000000000000001E-2</v>
      </c>
      <c r="B5">
        <v>1.4</v>
      </c>
      <c r="C5">
        <v>1.2875000000000001</v>
      </c>
      <c r="D5">
        <f t="shared" si="0"/>
        <v>0.11249999999999982</v>
      </c>
      <c r="E5">
        <f t="shared" si="1"/>
        <v>1.6020599913279623</v>
      </c>
      <c r="F5">
        <f t="shared" si="2"/>
        <v>0.94884747755261944</v>
      </c>
    </row>
    <row r="6" spans="1:6" x14ac:dyDescent="0.3">
      <c r="A6">
        <v>1.2500000000000001E-2</v>
      </c>
      <c r="B6">
        <v>1.4</v>
      </c>
      <c r="C6">
        <v>1.34375</v>
      </c>
      <c r="D6">
        <f t="shared" si="0"/>
        <v>5.6249999999999911E-2</v>
      </c>
      <c r="E6">
        <f t="shared" si="1"/>
        <v>1.9030899869919435</v>
      </c>
      <c r="F6">
        <f t="shared" si="2"/>
        <v>1.2498774732166007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Elkamash, Mohamed</dc:creator>
  <cp:lastModifiedBy>Elkamash, Mohamed</cp:lastModifiedBy>
  <dcterms:created xsi:type="dcterms:W3CDTF">2025-06-19T03:39:51Z</dcterms:created>
  <dcterms:modified xsi:type="dcterms:W3CDTF">2025-06-19T05:13:04Z</dcterms:modified>
</cp:coreProperties>
</file>